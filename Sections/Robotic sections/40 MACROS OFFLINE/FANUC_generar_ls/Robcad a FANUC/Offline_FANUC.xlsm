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agalindo\Desktop\Macros Simulacion RobCad\Macros FANUC\Robcad a FANUC\"/>
    </mc:Choice>
  </mc:AlternateContent>
  <xr:revisionPtr revIDLastSave="0" documentId="13_ncr:1_{C3D348BF-1965-42AC-B2B1-D3971547F19B}" xr6:coauthVersionLast="43" xr6:coauthVersionMax="43" xr10:uidLastSave="{00000000-0000-0000-0000-000000000000}"/>
  <bookViews>
    <workbookView xWindow="-120" yWindow="-120" windowWidth="20730" windowHeight="11160" xr2:uid="{00000000-000D-0000-FFFF-FFFF00000000}"/>
  </bookViews>
  <sheets>
    <sheet name="Macro_LS_FANUC" sheetId="1" r:id="rId1"/>
    <sheet name="Instrucciones Macro" sheetId="2" r:id="rId2"/>
    <sheet name="Calculo_cinematica_robot" sheetId="3" r:id="rId3"/>
  </sheets>
  <externalReferences>
    <externalReference r:id="rId4"/>
  </externalReferenc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26" i="3" l="1"/>
  <c r="F27" i="3" s="1"/>
  <c r="F29" i="3" s="1"/>
  <c r="C26" i="3"/>
  <c r="C27" i="3" s="1"/>
  <c r="C29" i="3" s="1"/>
  <c r="P12" i="1"/>
  <c r="P11" i="1"/>
  <c r="P10" i="1" l="1"/>
  <c r="P9" i="1"/>
  <c r="P8" i="1"/>
  <c r="P7" i="1"/>
  <c r="P6" i="1"/>
  <c r="P5" i="1"/>
  <c r="P4" i="1"/>
  <c r="P3" i="1"/>
  <c r="L16" i="3"/>
  <c r="L17" i="3" s="1"/>
  <c r="L19" i="3" s="1"/>
  <c r="C16" i="3"/>
  <c r="C17" i="3" s="1"/>
  <c r="C19" i="3" s="1"/>
  <c r="F16" i="3"/>
  <c r="F17" i="3" s="1"/>
  <c r="F19" i="3" s="1"/>
  <c r="I16" i="3"/>
  <c r="I17" i="3" s="1"/>
  <c r="I19" i="3" s="1"/>
  <c r="L6" i="3"/>
  <c r="L7" i="3" s="1"/>
  <c r="L9" i="3" s="1"/>
  <c r="I6" i="3"/>
  <c r="I7" i="3" s="1"/>
  <c r="I9" i="3" s="1"/>
  <c r="F6" i="3"/>
  <c r="F7" i="3" s="1"/>
  <c r="F9" i="3" s="1"/>
  <c r="C6" i="3"/>
  <c r="C7" i="3" s="1"/>
  <c r="C9" i="3" s="1"/>
</calcChain>
</file>

<file path=xl/sharedStrings.xml><?xml version="1.0" encoding="utf-8"?>
<sst xmlns="http://schemas.openxmlformats.org/spreadsheetml/2006/main" count="89" uniqueCount="32">
  <si>
    <t>Nombre Trayectoria</t>
  </si>
  <si>
    <t>INSTRUCCIONES DE USO</t>
  </si>
  <si>
    <t>E1_PASO</t>
  </si>
  <si>
    <t>E1_SOLDADURA</t>
  </si>
  <si>
    <t>3º Ejecutar la macro para generar un excel con los datos extraídos del fichero .txt con los puntos recuperado de RobCad. Para ello pinchar en el botón "Generar Excel con datos" y seleccionar el fichero en la ruta donde se encuentre.</t>
  </si>
  <si>
    <t>DESACTIVADO</t>
  </si>
  <si>
    <t>1º El primer paso es completar la información que se requiere en las casillas de la columna "I". En la primera casilla se debe introducir el nombre que le queramos asignar a nuestra trayectoria (límite 12 carácteres). En la segunda casilla insertar el valor del eje externo de soldadura por defecto para puntos de paso. En la tercera casilla insertar un valor por defecto para los puntos de soldadura.</t>
  </si>
  <si>
    <t>LONGITUD BRAZO EJE 3</t>
  </si>
  <si>
    <t>OFFSET EJE 2-3</t>
  </si>
  <si>
    <t>HIPOTENUSA</t>
  </si>
  <si>
    <t>ANGULO DIFERENCIA EJE 2-3</t>
  </si>
  <si>
    <t>ÁNGULO DE LA FÓRMULA</t>
  </si>
  <si>
    <t>R2000iC/165F,210F</t>
  </si>
  <si>
    <t>R2000iC/125L</t>
  </si>
  <si>
    <t>R2000iB/185L</t>
  </si>
  <si>
    <t>R2000iB/125L</t>
  </si>
  <si>
    <t>R2000iB/165F,210F</t>
  </si>
  <si>
    <t>M900iB/700</t>
  </si>
  <si>
    <t>M2000iA/1200</t>
  </si>
  <si>
    <t>M2000iA/900L</t>
  </si>
  <si>
    <t>MODELO ROBOT</t>
  </si>
  <si>
    <t>INTRODUCIR MODELO ROBOT</t>
  </si>
  <si>
    <t>ÁNGULO REF</t>
  </si>
  <si>
    <t>ÍNDICE</t>
  </si>
  <si>
    <t>2º Introducir en la casilla de selección correspondiente el tipo de robot para las trayectorias a recuperar. Las opciones que tenemos son:                                       robot de manipulación (ninguna casilla), robot de soldadura (casilla soldadura), robot de manutencion con track (casilla track), robot de soldadura                              con track (casilla soldadura y track),  robot de soldadura con pinza al suelo (casilla soldadura y casilla pinza al suelo) y robot de soldadura con                                                         pinza al suelo y track (casilla soldadura, track y pinza al suelo)</t>
  </si>
  <si>
    <t xml:space="preserve">5º Ejecutar la macro para generar el fichero .LS compilable en el robot FANUC. Para ello pinchar en el botón "Generar Fichero LS" y seleccionar el fichero excel con los datos generado en el paso anterior, que se encontrará en la misma carpeta original del fichero de RobCad. </t>
  </si>
  <si>
    <t>4º  Rellenar el fichero Excel generado en el paso anterior con los valores de los ejes de cada punto para poder calcular la CONFIG de cada punto.</t>
  </si>
  <si>
    <t>nom_tray</t>
  </si>
  <si>
    <t>ACTIVADO</t>
  </si>
  <si>
    <t>NO ACTIVO</t>
  </si>
  <si>
    <t>M900iB/280L</t>
  </si>
  <si>
    <t>M900iB/360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</si>
</sst>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sz val="13"/>
      <color theme="1"/>
      <name val="Calibri"/>
      <family val="2"/>
      <scheme val="minor"/>
    </font>
    <font>
      <b/>
      <i/>
      <sz val="14"/>
      <color rgb="FFFF0000"/>
      <name val="Calibri"/>
      <family val="2"/>
    </font>
  </fonts>
  <fills count="9">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FF0000"/>
        <bgColor indexed="64"/>
      </patternFill>
    </fill>
    <fill>
      <patternFill patternType="solid">
        <fgColor theme="5" tint="0.59999389629810485"/>
        <bgColor indexed="64"/>
      </patternFill>
    </fill>
    <fill>
      <patternFill patternType="solid">
        <fgColor rgb="FFFFFF00"/>
        <bgColor indexed="64"/>
      </patternFill>
    </fill>
    <fill>
      <patternFill patternType="solid">
        <fgColor theme="9" tint="0.79998168889431442"/>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s>
  <cellStyleXfs count="1">
    <xf numFmtId="0" fontId="0" fillId="0" borderId="0"/>
  </cellStyleXfs>
  <cellXfs count="31">
    <xf numFmtId="0" fontId="0" fillId="0" borderId="0" xfId="0"/>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center" vertical="center"/>
    </xf>
    <xf numFmtId="0" fontId="0" fillId="4" borderId="1" xfId="0" applyFill="1" applyBorder="1" applyAlignment="1">
      <alignment horizontal="center" vertical="center"/>
    </xf>
    <xf numFmtId="0" fontId="0" fillId="6" borderId="1" xfId="0" applyFill="1" applyBorder="1" applyAlignment="1">
      <alignment horizontal="center" vertical="center"/>
    </xf>
    <xf numFmtId="0" fontId="0" fillId="2" borderId="1" xfId="0" applyFill="1" applyBorder="1" applyAlignment="1">
      <alignment horizontal="center" vertical="center"/>
    </xf>
    <xf numFmtId="0" fontId="0" fillId="7" borderId="1" xfId="0" applyFill="1" applyBorder="1" applyAlignment="1">
      <alignment horizontal="center" vertical="center"/>
    </xf>
    <xf numFmtId="0" fontId="0" fillId="8" borderId="3" xfId="0" applyFill="1" applyBorder="1" applyAlignment="1">
      <alignment horizontal="center" vertical="center"/>
    </xf>
    <xf numFmtId="0" fontId="0" fillId="3"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0" fillId="3" borderId="2" xfId="0" applyFill="1" applyBorder="1" applyAlignment="1">
      <alignment horizontal="center" vertical="center"/>
    </xf>
    <xf numFmtId="0" fontId="0" fillId="3" borderId="3" xfId="0" applyFill="1" applyBorder="1" applyAlignment="1">
      <alignment horizontal="center" vertical="center"/>
    </xf>
    <xf numFmtId="0" fontId="1" fillId="3" borderId="5"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12" xfId="0" applyFont="1" applyFill="1" applyBorder="1" applyAlignment="1">
      <alignment horizontal="center" vertical="center" wrapText="1"/>
    </xf>
    <xf numFmtId="0" fontId="1" fillId="4" borderId="2"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3" xfId="0" applyFont="1" applyFill="1" applyBorder="1" applyAlignment="1">
      <alignment horizontal="center" vertical="center"/>
    </xf>
    <xf numFmtId="0" fontId="0" fillId="7" borderId="2" xfId="0" applyFill="1" applyBorder="1" applyAlignment="1">
      <alignment horizontal="center"/>
    </xf>
    <xf numFmtId="0" fontId="0" fillId="7" borderId="3" xfId="0"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8</xdr:row>
          <xdr:rowOff>0</xdr:rowOff>
        </xdr:from>
        <xdr:to>
          <xdr:col>5</xdr:col>
          <xdr:colOff>0</xdr:colOff>
          <xdr:row>12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1" u="none" strike="noStrike" baseline="0">
                  <a:solidFill>
                    <a:srgbClr val="FF0000"/>
                  </a:solidFill>
                  <a:latin typeface="Calibri"/>
                  <a:cs typeface="Calibri"/>
                </a:rPr>
                <a:t>Generar 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xdr:row>
          <xdr:rowOff>9525</xdr:rowOff>
        </xdr:from>
        <xdr:to>
          <xdr:col>5</xdr:col>
          <xdr:colOff>0</xdr:colOff>
          <xdr:row>5</xdr:row>
          <xdr:rowOff>9525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1" u="none" strike="noStrike" baseline="0">
                  <a:solidFill>
                    <a:srgbClr val="FF0000"/>
                  </a:solidFill>
                  <a:latin typeface="Calibri"/>
                  <a:cs typeface="Calibri"/>
                </a:rPr>
                <a:t>Generar Excel con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361950</xdr:colOff>
          <xdr:row>0</xdr:row>
          <xdr:rowOff>171450</xdr:rowOff>
        </xdr:from>
        <xdr:to>
          <xdr:col>12</xdr:col>
          <xdr:colOff>0</xdr:colOff>
          <xdr:row>2</xdr:row>
          <xdr:rowOff>180975</xdr:rowOff>
        </xdr:to>
        <xdr:sp macro="" textlink="">
          <xdr:nvSpPr>
            <xdr:cNvPr id="1030" name="CheckBox1"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371475</xdr:colOff>
          <xdr:row>4</xdr:row>
          <xdr:rowOff>171450</xdr:rowOff>
        </xdr:from>
        <xdr:to>
          <xdr:col>12</xdr:col>
          <xdr:colOff>0</xdr:colOff>
          <xdr:row>6</xdr:row>
          <xdr:rowOff>180975</xdr:rowOff>
        </xdr:to>
        <xdr:sp macro="" textlink="">
          <xdr:nvSpPr>
            <xdr:cNvPr id="1031" name="CheckBox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0</xdr:colOff>
          <xdr:row>8</xdr:row>
          <xdr:rowOff>161925</xdr:rowOff>
        </xdr:from>
        <xdr:to>
          <xdr:col>12</xdr:col>
          <xdr:colOff>0</xdr:colOff>
          <xdr:row>10</xdr:row>
          <xdr:rowOff>161925</xdr:rowOff>
        </xdr:to>
        <xdr:sp macro="" textlink="">
          <xdr:nvSpPr>
            <xdr:cNvPr id="1032" name="CheckBox3"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6</xdr:row>
          <xdr:rowOff>190500</xdr:rowOff>
        </xdr:from>
        <xdr:to>
          <xdr:col>8</xdr:col>
          <xdr:colOff>9525</xdr:colOff>
          <xdr:row>8</xdr:row>
          <xdr:rowOff>190500</xdr:rowOff>
        </xdr:to>
        <xdr:sp macro="" textlink="">
          <xdr:nvSpPr>
            <xdr:cNvPr id="1033" name="CheckBox4"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10</xdr:row>
          <xdr:rowOff>180975</xdr:rowOff>
        </xdr:from>
        <xdr:to>
          <xdr:col>8</xdr:col>
          <xdr:colOff>9525</xdr:colOff>
          <xdr:row>12</xdr:row>
          <xdr:rowOff>180975</xdr:rowOff>
        </xdr:to>
        <xdr:sp macro="" textlink="">
          <xdr:nvSpPr>
            <xdr:cNvPr id="1034" name="CheckBox5"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galindo/Desktop/Offline_FANUC_orig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_LS_FANUC"/>
      <sheetName val="Instrucciones Macro"/>
      <sheetName val="Calculo_cinematica_robot"/>
    </sheetNames>
    <sheetDataSet>
      <sheetData sheetId="0" refreshError="1"/>
      <sheetData sheetId="1" refreshError="1"/>
      <sheetData sheetId="2">
        <row r="29">
          <cell r="C29">
            <v>83.309661499985538</v>
          </cell>
          <cell r="F29">
            <v>80.909723079177681</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G1:P51"/>
  <sheetViews>
    <sheetView tabSelected="1" workbookViewId="0"/>
  </sheetViews>
  <sheetFormatPr baseColWidth="10" defaultRowHeight="15" x14ac:dyDescent="0.25"/>
  <cols>
    <col min="1" max="1" width="2.7109375" customWidth="1"/>
    <col min="2" max="5" width="12.7109375" customWidth="1"/>
    <col min="6" max="6" width="5.7109375" customWidth="1"/>
    <col min="7" max="8" width="10.7109375" customWidth="1"/>
    <col min="9" max="9" width="20.7109375" customWidth="1"/>
    <col min="10" max="10" width="5.7109375" customWidth="1"/>
    <col min="11" max="12" width="12.7109375" customWidth="1"/>
    <col min="13" max="13" width="5.7109375" customWidth="1"/>
    <col min="14" max="14" width="20.7109375" customWidth="1"/>
    <col min="15" max="15" width="11.85546875" bestFit="1" customWidth="1"/>
    <col min="16" max="16" width="12.7109375" style="4" customWidth="1"/>
    <col min="17" max="17" width="12.140625" customWidth="1"/>
  </cols>
  <sheetData>
    <row r="1" spans="7:16" ht="15" customHeight="1" thickBot="1" x14ac:dyDescent="0.3"/>
    <row r="2" spans="7:16" ht="15.75" thickBot="1" x14ac:dyDescent="0.3">
      <c r="G2" s="15" t="s">
        <v>0</v>
      </c>
      <c r="H2" s="16"/>
      <c r="I2" s="1" t="s">
        <v>27</v>
      </c>
      <c r="N2" s="10" t="s">
        <v>20</v>
      </c>
      <c r="O2" s="3" t="s">
        <v>23</v>
      </c>
      <c r="P2" s="3" t="s">
        <v>22</v>
      </c>
    </row>
    <row r="3" spans="7:16" ht="15.75" thickBot="1" x14ac:dyDescent="0.3">
      <c r="N3" s="8" t="s">
        <v>12</v>
      </c>
      <c r="O3" s="9">
        <v>1</v>
      </c>
      <c r="P3" s="1">
        <f>Calculo_cinematica_robot!C9</f>
        <v>80.030328046324811</v>
      </c>
    </row>
    <row r="4" spans="7:16" ht="15.75" thickBot="1" x14ac:dyDescent="0.3">
      <c r="G4" s="11" t="s">
        <v>2</v>
      </c>
      <c r="H4" s="12"/>
      <c r="I4" s="2">
        <v>90</v>
      </c>
      <c r="K4" s="13" t="s">
        <v>5</v>
      </c>
      <c r="L4" s="14"/>
      <c r="N4" s="8" t="s">
        <v>13</v>
      </c>
      <c r="O4" s="9">
        <v>2</v>
      </c>
      <c r="P4" s="1">
        <f>Calculo_cinematica_robot!F9</f>
        <v>82.589831041636856</v>
      </c>
    </row>
    <row r="5" spans="7:16" ht="15.75" thickBot="1" x14ac:dyDescent="0.3">
      <c r="N5" s="8" t="s">
        <v>16</v>
      </c>
      <c r="O5" s="9">
        <v>3</v>
      </c>
      <c r="P5" s="1">
        <f>Calculo_cinematica_robot!I9</f>
        <v>80.030328046324811</v>
      </c>
    </row>
    <row r="6" spans="7:16" ht="15.75" thickBot="1" x14ac:dyDescent="0.3">
      <c r="G6" s="11" t="s">
        <v>3</v>
      </c>
      <c r="H6" s="12"/>
      <c r="I6" s="2">
        <v>30</v>
      </c>
      <c r="N6" s="8" t="s">
        <v>14</v>
      </c>
      <c r="O6" s="9">
        <v>4</v>
      </c>
      <c r="P6" s="1">
        <f>Calculo_cinematica_robot!L9</f>
        <v>82.416460464508518</v>
      </c>
    </row>
    <row r="7" spans="7:16" ht="15.75" thickBot="1" x14ac:dyDescent="0.3">
      <c r="N7" s="8" t="s">
        <v>15</v>
      </c>
      <c r="O7" s="9">
        <v>5</v>
      </c>
      <c r="P7" s="1">
        <f>Calculo_cinematica_robot!C19</f>
        <v>82.164474893511454</v>
      </c>
    </row>
    <row r="8" spans="7:16" ht="15.75" thickBot="1" x14ac:dyDescent="0.3">
      <c r="K8" s="13" t="s">
        <v>5</v>
      </c>
      <c r="L8" s="14"/>
      <c r="N8" s="8" t="s">
        <v>17</v>
      </c>
      <c r="O8" s="9">
        <v>6</v>
      </c>
      <c r="P8" s="1">
        <f>Calculo_cinematica_robot!F19</f>
        <v>78.990492081045133</v>
      </c>
    </row>
    <row r="9" spans="7:16" ht="15.75" thickBot="1" x14ac:dyDescent="0.3">
      <c r="N9" s="8" t="s">
        <v>18</v>
      </c>
      <c r="O9" s="9">
        <v>7</v>
      </c>
      <c r="P9" s="1">
        <f>Calculo_cinematica_robot!I19</f>
        <v>76.865977693603682</v>
      </c>
    </row>
    <row r="10" spans="7:16" ht="15.75" thickBot="1" x14ac:dyDescent="0.3">
      <c r="G10" s="13" t="s">
        <v>29</v>
      </c>
      <c r="H10" s="14"/>
      <c r="N10" s="8" t="s">
        <v>19</v>
      </c>
      <c r="O10" s="9">
        <v>8</v>
      </c>
      <c r="P10" s="1">
        <f>Calculo_cinematica_robot!L19</f>
        <v>81.966954209440644</v>
      </c>
    </row>
    <row r="11" spans="7:16" ht="15.75" thickBot="1" x14ac:dyDescent="0.3">
      <c r="N11" s="8" t="s">
        <v>30</v>
      </c>
      <c r="O11" s="9">
        <v>9</v>
      </c>
      <c r="P11" s="1">
        <f>[1]Calculo_cinematica_robot!C29</f>
        <v>83.309661499985538</v>
      </c>
    </row>
    <row r="12" spans="7:16" ht="15.75" thickBot="1" x14ac:dyDescent="0.3">
      <c r="K12" s="13" t="s">
        <v>5</v>
      </c>
      <c r="L12" s="14"/>
      <c r="N12" s="8" t="s">
        <v>31</v>
      </c>
      <c r="O12" s="9">
        <v>10</v>
      </c>
      <c r="P12" s="1">
        <f>[1]Calculo_cinematica_robot!F29</f>
        <v>80.909723079177681</v>
      </c>
    </row>
    <row r="13" spans="7:16" ht="15" customHeight="1" thickBot="1" x14ac:dyDescent="0.3"/>
    <row r="14" spans="7:16" ht="15" customHeight="1" thickBot="1" x14ac:dyDescent="0.3">
      <c r="G14" s="11" t="s">
        <v>28</v>
      </c>
      <c r="H14" s="12"/>
      <c r="N14" s="11" t="s">
        <v>21</v>
      </c>
      <c r="O14" s="12"/>
      <c r="P14" s="1">
        <v>1</v>
      </c>
    </row>
    <row r="15" spans="7:16" ht="15" customHeight="1" x14ac:dyDescent="0.25"/>
    <row r="16" spans="7: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sheetData>
  <mergeCells count="9">
    <mergeCell ref="G2:H2"/>
    <mergeCell ref="G4:H4"/>
    <mergeCell ref="G6:H6"/>
    <mergeCell ref="G10:H10"/>
    <mergeCell ref="G14:H14"/>
    <mergeCell ref="N14:O14"/>
    <mergeCell ref="K12:L12"/>
    <mergeCell ref="K4:L4"/>
    <mergeCell ref="K8:L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32" r:id="rId4" name="CheckBox3">
          <controlPr defaultSize="0" autoLine="0" r:id="rId5">
            <anchor>
              <from>
                <xdr:col>10</xdr:col>
                <xdr:colOff>0</xdr:colOff>
                <xdr:row>8</xdr:row>
                <xdr:rowOff>161925</xdr:rowOff>
              </from>
              <to>
                <xdr:col>12</xdr:col>
                <xdr:colOff>0</xdr:colOff>
                <xdr:row>10</xdr:row>
                <xdr:rowOff>161925</xdr:rowOff>
              </to>
            </anchor>
          </controlPr>
        </control>
      </mc:Choice>
      <mc:Fallback>
        <control shapeId="1032" r:id="rId4" name="CheckBox3"/>
      </mc:Fallback>
    </mc:AlternateContent>
    <mc:AlternateContent xmlns:mc="http://schemas.openxmlformats.org/markup-compatibility/2006">
      <mc:Choice Requires="x14">
        <control shapeId="1031" r:id="rId6" name="CheckBox2">
          <controlPr defaultSize="0" autoLine="0" r:id="rId7">
            <anchor>
              <from>
                <xdr:col>9</xdr:col>
                <xdr:colOff>371475</xdr:colOff>
                <xdr:row>4</xdr:row>
                <xdr:rowOff>171450</xdr:rowOff>
              </from>
              <to>
                <xdr:col>12</xdr:col>
                <xdr:colOff>0</xdr:colOff>
                <xdr:row>6</xdr:row>
                <xdr:rowOff>180975</xdr:rowOff>
              </to>
            </anchor>
          </controlPr>
        </control>
      </mc:Choice>
      <mc:Fallback>
        <control shapeId="1031" r:id="rId6" name="CheckBox2"/>
      </mc:Fallback>
    </mc:AlternateContent>
    <mc:AlternateContent xmlns:mc="http://schemas.openxmlformats.org/markup-compatibility/2006">
      <mc:Choice Requires="x14">
        <control shapeId="1030" r:id="rId8" name="CheckBox1">
          <controlPr defaultSize="0" autoLine="0" r:id="rId9">
            <anchor>
              <from>
                <xdr:col>9</xdr:col>
                <xdr:colOff>361950</xdr:colOff>
                <xdr:row>0</xdr:row>
                <xdr:rowOff>171450</xdr:rowOff>
              </from>
              <to>
                <xdr:col>12</xdr:col>
                <xdr:colOff>0</xdr:colOff>
                <xdr:row>2</xdr:row>
                <xdr:rowOff>180975</xdr:rowOff>
              </to>
            </anchor>
          </controlPr>
        </control>
      </mc:Choice>
      <mc:Fallback>
        <control shapeId="1030" r:id="rId8" name="CheckBox1"/>
      </mc:Fallback>
    </mc:AlternateContent>
    <mc:AlternateContent xmlns:mc="http://schemas.openxmlformats.org/markup-compatibility/2006">
      <mc:Choice Requires="x14">
        <control shapeId="1033" r:id="rId10" name="CheckBox4">
          <controlPr defaultSize="0" autoLine="0" r:id="rId11">
            <anchor>
              <from>
                <xdr:col>6</xdr:col>
                <xdr:colOff>0</xdr:colOff>
                <xdr:row>6</xdr:row>
                <xdr:rowOff>190500</xdr:rowOff>
              </from>
              <to>
                <xdr:col>8</xdr:col>
                <xdr:colOff>9525</xdr:colOff>
                <xdr:row>8</xdr:row>
                <xdr:rowOff>190500</xdr:rowOff>
              </to>
            </anchor>
          </controlPr>
        </control>
      </mc:Choice>
      <mc:Fallback>
        <control shapeId="1033" r:id="rId10" name="CheckBox4"/>
      </mc:Fallback>
    </mc:AlternateContent>
    <mc:AlternateContent xmlns:mc="http://schemas.openxmlformats.org/markup-compatibility/2006">
      <mc:Choice Requires="x14">
        <control shapeId="1034" r:id="rId12" name="CheckBox5">
          <controlPr defaultSize="0" autoLine="0" r:id="rId13">
            <anchor>
              <from>
                <xdr:col>6</xdr:col>
                <xdr:colOff>0</xdr:colOff>
                <xdr:row>10</xdr:row>
                <xdr:rowOff>180975</xdr:rowOff>
              </from>
              <to>
                <xdr:col>8</xdr:col>
                <xdr:colOff>9525</xdr:colOff>
                <xdr:row>12</xdr:row>
                <xdr:rowOff>180975</xdr:rowOff>
              </to>
            </anchor>
          </controlPr>
        </control>
      </mc:Choice>
      <mc:Fallback>
        <control shapeId="1034" r:id="rId12" name="CheckBox5"/>
      </mc:Fallback>
    </mc:AlternateContent>
    <mc:AlternateContent xmlns:mc="http://schemas.openxmlformats.org/markup-compatibility/2006">
      <mc:Choice Requires="x14">
        <control shapeId="1026" r:id="rId14" name="Button 2">
          <controlPr defaultSize="0" print="0" autoFill="0" autoPict="0" macro="[0]!Generar_LS">
            <anchor moveWithCells="1" sizeWithCells="1">
              <from>
                <xdr:col>0</xdr:col>
                <xdr:colOff>171450</xdr:colOff>
                <xdr:row>8</xdr:row>
                <xdr:rowOff>0</xdr:rowOff>
              </from>
              <to>
                <xdr:col>5</xdr:col>
                <xdr:colOff>0</xdr:colOff>
                <xdr:row>12</xdr:row>
                <xdr:rowOff>0</xdr:rowOff>
              </to>
            </anchor>
          </controlPr>
        </control>
      </mc:Choice>
    </mc:AlternateContent>
    <mc:AlternateContent xmlns:mc="http://schemas.openxmlformats.org/markup-compatibility/2006">
      <mc:Choice Requires="x14">
        <control shapeId="1028" r:id="rId15" name="Button 4">
          <controlPr defaultSize="0" print="0" autoFill="0" autoPict="0" macro="[0]!Generador_datos">
            <anchor moveWithCells="1" sizeWithCells="1">
              <from>
                <xdr:col>1</xdr:col>
                <xdr:colOff>0</xdr:colOff>
                <xdr:row>1</xdr:row>
                <xdr:rowOff>9525</xdr:rowOff>
              </from>
              <to>
                <xdr:col>5</xdr:col>
                <xdr:colOff>0</xdr:colOff>
                <xdr:row>5</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1CBC5-5A76-46EE-8B31-3070DF8A716B}">
  <sheetPr codeName="Hoja2"/>
  <dimension ref="B1:N21"/>
  <sheetViews>
    <sheetView workbookViewId="0"/>
  </sheetViews>
  <sheetFormatPr baseColWidth="10" defaultRowHeight="15" x14ac:dyDescent="0.25"/>
  <cols>
    <col min="1" max="1" width="2.7109375" customWidth="1"/>
    <col min="2" max="12" width="12.7109375" customWidth="1"/>
  </cols>
  <sheetData>
    <row r="1" spans="2:14" ht="9.9499999999999993" customHeight="1" thickBot="1" x14ac:dyDescent="0.3"/>
    <row r="2" spans="2:14" ht="20.100000000000001" customHeight="1" thickBot="1" x14ac:dyDescent="0.3">
      <c r="B2" s="26" t="s">
        <v>1</v>
      </c>
      <c r="C2" s="27"/>
      <c r="D2" s="27"/>
      <c r="E2" s="27"/>
      <c r="F2" s="27"/>
      <c r="G2" s="27"/>
      <c r="H2" s="27"/>
      <c r="I2" s="27"/>
      <c r="J2" s="27"/>
      <c r="K2" s="27"/>
      <c r="L2" s="27"/>
      <c r="M2" s="27"/>
      <c r="N2" s="28"/>
    </row>
    <row r="3" spans="2:14" ht="5.0999999999999996" customHeight="1" thickBot="1" x14ac:dyDescent="0.3"/>
    <row r="4" spans="2:14" ht="20.100000000000001" customHeight="1" x14ac:dyDescent="0.25">
      <c r="B4" s="17" t="s">
        <v>6</v>
      </c>
      <c r="C4" s="18"/>
      <c r="D4" s="18"/>
      <c r="E4" s="18"/>
      <c r="F4" s="18"/>
      <c r="G4" s="18"/>
      <c r="H4" s="18"/>
      <c r="I4" s="18"/>
      <c r="J4" s="18"/>
      <c r="K4" s="18"/>
      <c r="L4" s="18"/>
      <c r="M4" s="18"/>
      <c r="N4" s="19"/>
    </row>
    <row r="5" spans="2:14" ht="20.100000000000001" customHeight="1" x14ac:dyDescent="0.25">
      <c r="B5" s="23"/>
      <c r="C5" s="24"/>
      <c r="D5" s="24"/>
      <c r="E5" s="24"/>
      <c r="F5" s="24"/>
      <c r="G5" s="24"/>
      <c r="H5" s="24"/>
      <c r="I5" s="24"/>
      <c r="J5" s="24"/>
      <c r="K5" s="24"/>
      <c r="L5" s="24"/>
      <c r="M5" s="24"/>
      <c r="N5" s="25"/>
    </row>
    <row r="6" spans="2:14" ht="20.100000000000001" customHeight="1" thickBot="1" x14ac:dyDescent="0.3">
      <c r="B6" s="20"/>
      <c r="C6" s="21"/>
      <c r="D6" s="21"/>
      <c r="E6" s="21"/>
      <c r="F6" s="21"/>
      <c r="G6" s="21"/>
      <c r="H6" s="21"/>
      <c r="I6" s="21"/>
      <c r="J6" s="21"/>
      <c r="K6" s="21"/>
      <c r="L6" s="21"/>
      <c r="M6" s="21"/>
      <c r="N6" s="22"/>
    </row>
    <row r="7" spans="2:14" ht="5.0999999999999996" customHeight="1" thickBot="1" x14ac:dyDescent="0.3"/>
    <row r="8" spans="2:14" ht="20.100000000000001" customHeight="1" x14ac:dyDescent="0.25">
      <c r="B8" s="17" t="s">
        <v>24</v>
      </c>
      <c r="C8" s="18"/>
      <c r="D8" s="18"/>
      <c r="E8" s="18"/>
      <c r="F8" s="18"/>
      <c r="G8" s="18"/>
      <c r="H8" s="18"/>
      <c r="I8" s="18"/>
      <c r="J8" s="18"/>
      <c r="K8" s="18"/>
      <c r="L8" s="18"/>
      <c r="M8" s="18"/>
      <c r="N8" s="19"/>
    </row>
    <row r="9" spans="2:14" ht="20.100000000000001" customHeight="1" x14ac:dyDescent="0.25">
      <c r="B9" s="23"/>
      <c r="C9" s="24"/>
      <c r="D9" s="24"/>
      <c r="E9" s="24"/>
      <c r="F9" s="24"/>
      <c r="G9" s="24"/>
      <c r="H9" s="24"/>
      <c r="I9" s="24"/>
      <c r="J9" s="24"/>
      <c r="K9" s="24"/>
      <c r="L9" s="24"/>
      <c r="M9" s="24"/>
      <c r="N9" s="25"/>
    </row>
    <row r="10" spans="2:14" ht="20.100000000000001" customHeight="1" x14ac:dyDescent="0.25">
      <c r="B10" s="23"/>
      <c r="C10" s="24"/>
      <c r="D10" s="24"/>
      <c r="E10" s="24"/>
      <c r="F10" s="24"/>
      <c r="G10" s="24"/>
      <c r="H10" s="24"/>
      <c r="I10" s="24"/>
      <c r="J10" s="24"/>
      <c r="K10" s="24"/>
      <c r="L10" s="24"/>
      <c r="M10" s="24"/>
      <c r="N10" s="25"/>
    </row>
    <row r="11" spans="2:14" ht="20.100000000000001" customHeight="1" thickBot="1" x14ac:dyDescent="0.3">
      <c r="B11" s="20"/>
      <c r="C11" s="21"/>
      <c r="D11" s="21"/>
      <c r="E11" s="21"/>
      <c r="F11" s="21"/>
      <c r="G11" s="21"/>
      <c r="H11" s="21"/>
      <c r="I11" s="21"/>
      <c r="J11" s="21"/>
      <c r="K11" s="21"/>
      <c r="L11" s="21"/>
      <c r="M11" s="21"/>
      <c r="N11" s="22"/>
    </row>
    <row r="12" spans="2:14" ht="5.0999999999999996" customHeight="1" thickBot="1" x14ac:dyDescent="0.3"/>
    <row r="13" spans="2:14" ht="20.100000000000001" customHeight="1" x14ac:dyDescent="0.25">
      <c r="B13" s="17" t="s">
        <v>4</v>
      </c>
      <c r="C13" s="18"/>
      <c r="D13" s="18"/>
      <c r="E13" s="18"/>
      <c r="F13" s="18"/>
      <c r="G13" s="18"/>
      <c r="H13" s="18"/>
      <c r="I13" s="18"/>
      <c r="J13" s="18"/>
      <c r="K13" s="18"/>
      <c r="L13" s="18"/>
      <c r="M13" s="18"/>
      <c r="N13" s="19"/>
    </row>
    <row r="14" spans="2:14" ht="20.100000000000001" customHeight="1" thickBot="1" x14ac:dyDescent="0.3">
      <c r="B14" s="20"/>
      <c r="C14" s="21"/>
      <c r="D14" s="21"/>
      <c r="E14" s="21"/>
      <c r="F14" s="21"/>
      <c r="G14" s="21"/>
      <c r="H14" s="21"/>
      <c r="I14" s="21"/>
      <c r="J14" s="21"/>
      <c r="K14" s="21"/>
      <c r="L14" s="21"/>
      <c r="M14" s="21"/>
      <c r="N14" s="22"/>
    </row>
    <row r="15" spans="2:14" ht="5.0999999999999996" customHeight="1" thickBot="1" x14ac:dyDescent="0.3"/>
    <row r="16" spans="2:14" ht="20.100000000000001" customHeight="1" x14ac:dyDescent="0.25">
      <c r="B16" s="17" t="s">
        <v>26</v>
      </c>
      <c r="C16" s="18"/>
      <c r="D16" s="18"/>
      <c r="E16" s="18"/>
      <c r="F16" s="18"/>
      <c r="G16" s="18"/>
      <c r="H16" s="18"/>
      <c r="I16" s="18"/>
      <c r="J16" s="18"/>
      <c r="K16" s="18"/>
      <c r="L16" s="18"/>
      <c r="M16" s="18"/>
      <c r="N16" s="19"/>
    </row>
    <row r="17" spans="2:14" ht="20.100000000000001" customHeight="1" thickBot="1" x14ac:dyDescent="0.3">
      <c r="B17" s="20"/>
      <c r="C17" s="21"/>
      <c r="D17" s="21"/>
      <c r="E17" s="21"/>
      <c r="F17" s="21"/>
      <c r="G17" s="21"/>
      <c r="H17" s="21"/>
      <c r="I17" s="21"/>
      <c r="J17" s="21"/>
      <c r="K17" s="21"/>
      <c r="L17" s="21"/>
      <c r="M17" s="21"/>
      <c r="N17" s="22"/>
    </row>
    <row r="18" spans="2:14" ht="5.0999999999999996" customHeight="1" thickBot="1" x14ac:dyDescent="0.3"/>
    <row r="19" spans="2:14" ht="20.100000000000001" customHeight="1" x14ac:dyDescent="0.25">
      <c r="B19" s="17" t="s">
        <v>25</v>
      </c>
      <c r="C19" s="18"/>
      <c r="D19" s="18"/>
      <c r="E19" s="18"/>
      <c r="F19" s="18"/>
      <c r="G19" s="18"/>
      <c r="H19" s="18"/>
      <c r="I19" s="18"/>
      <c r="J19" s="18"/>
      <c r="K19" s="18"/>
      <c r="L19" s="18"/>
      <c r="M19" s="18"/>
      <c r="N19" s="19"/>
    </row>
    <row r="20" spans="2:14" ht="20.100000000000001" customHeight="1" thickBot="1" x14ac:dyDescent="0.3">
      <c r="B20" s="20"/>
      <c r="C20" s="21"/>
      <c r="D20" s="21"/>
      <c r="E20" s="21"/>
      <c r="F20" s="21"/>
      <c r="G20" s="21"/>
      <c r="H20" s="21"/>
      <c r="I20" s="21"/>
      <c r="J20" s="21"/>
      <c r="K20" s="21"/>
      <c r="L20" s="21"/>
      <c r="M20" s="21"/>
      <c r="N20" s="22"/>
    </row>
    <row r="21" spans="2:14" ht="20.100000000000001" customHeight="1" x14ac:dyDescent="0.25"/>
  </sheetData>
  <mergeCells count="6">
    <mergeCell ref="B16:N17"/>
    <mergeCell ref="B19:N20"/>
    <mergeCell ref="B4:N6"/>
    <mergeCell ref="B2:N2"/>
    <mergeCell ref="B8:N11"/>
    <mergeCell ref="B13:N1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B14F2-5D19-49C8-AF8A-817FA45092BE}">
  <sheetPr codeName="Hoja3"/>
  <dimension ref="B1:L29"/>
  <sheetViews>
    <sheetView workbookViewId="0"/>
  </sheetViews>
  <sheetFormatPr baseColWidth="10" defaultRowHeight="15" x14ac:dyDescent="0.25"/>
  <cols>
    <col min="1" max="1" width="5.7109375" customWidth="1"/>
    <col min="2" max="2" width="25.7109375" style="4" customWidth="1"/>
    <col min="3" max="3" width="10.7109375" style="4" customWidth="1"/>
    <col min="4" max="4" width="5.7109375" customWidth="1"/>
    <col min="5" max="5" width="25.7109375" customWidth="1"/>
    <col min="6" max="6" width="10.7109375" customWidth="1"/>
    <col min="7" max="7" width="5.7109375" customWidth="1"/>
    <col min="8" max="8" width="25.7109375" customWidth="1"/>
    <col min="9" max="9" width="10.7109375" customWidth="1"/>
    <col min="10" max="10" width="5.7109375" customWidth="1"/>
    <col min="11" max="11" width="25.7109375" customWidth="1"/>
    <col min="12" max="12" width="10.7109375" customWidth="1"/>
  </cols>
  <sheetData>
    <row r="1" spans="2:12" ht="15.75" thickBot="1" x14ac:dyDescent="0.3"/>
    <row r="2" spans="2:12" ht="15.75" thickBot="1" x14ac:dyDescent="0.3">
      <c r="B2" s="29" t="s">
        <v>12</v>
      </c>
      <c r="C2" s="30"/>
      <c r="E2" s="29" t="s">
        <v>13</v>
      </c>
      <c r="F2" s="30"/>
      <c r="H2" s="29" t="s">
        <v>16</v>
      </c>
      <c r="I2" s="30"/>
      <c r="K2" s="29" t="s">
        <v>14</v>
      </c>
      <c r="L2" s="30"/>
    </row>
    <row r="3" spans="2:12" ht="15.75" thickBot="1" x14ac:dyDescent="0.3">
      <c r="B3"/>
      <c r="C3"/>
    </row>
    <row r="4" spans="2:12" ht="15.75" thickBot="1" x14ac:dyDescent="0.3">
      <c r="B4" s="5" t="s">
        <v>7</v>
      </c>
      <c r="C4" s="1">
        <v>1280</v>
      </c>
      <c r="E4" s="5" t="s">
        <v>7</v>
      </c>
      <c r="F4" s="1">
        <v>1730</v>
      </c>
      <c r="H4" s="5" t="s">
        <v>7</v>
      </c>
      <c r="I4" s="1">
        <v>1280</v>
      </c>
      <c r="K4" s="5" t="s">
        <v>7</v>
      </c>
      <c r="L4" s="1">
        <v>1690</v>
      </c>
    </row>
    <row r="5" spans="2:12" ht="15.75" thickBot="1" x14ac:dyDescent="0.3">
      <c r="B5" s="5" t="s">
        <v>8</v>
      </c>
      <c r="C5" s="1">
        <v>225</v>
      </c>
      <c r="E5" s="5" t="s">
        <v>8</v>
      </c>
      <c r="F5" s="1">
        <v>225</v>
      </c>
      <c r="H5" s="5" t="s">
        <v>8</v>
      </c>
      <c r="I5" s="1">
        <v>225</v>
      </c>
      <c r="K5" s="5" t="s">
        <v>8</v>
      </c>
      <c r="L5" s="1">
        <v>225</v>
      </c>
    </row>
    <row r="6" spans="2:12" ht="15.75" thickBot="1" x14ac:dyDescent="0.3">
      <c r="B6" s="6" t="s">
        <v>9</v>
      </c>
      <c r="C6" s="1">
        <f>SQRT((C4^2)+(C5^2))</f>
        <v>1299.6249458978541</v>
      </c>
      <c r="E6" s="6" t="s">
        <v>9</v>
      </c>
      <c r="F6" s="1">
        <f>SQRT((F4^2)+(F5^2))</f>
        <v>1744.5701476294955</v>
      </c>
      <c r="H6" s="6" t="s">
        <v>9</v>
      </c>
      <c r="I6" s="1">
        <f>SQRT((I4^2)+(I5^2))</f>
        <v>1299.6249458978541</v>
      </c>
      <c r="K6" s="6" t="s">
        <v>9</v>
      </c>
      <c r="L6" s="1">
        <f>SQRT((L4^2)+(L5^2))</f>
        <v>1704.9120211905363</v>
      </c>
    </row>
    <row r="7" spans="2:12" ht="15.75" thickBot="1" x14ac:dyDescent="0.3">
      <c r="B7" s="6" t="s">
        <v>10</v>
      </c>
      <c r="C7" s="1">
        <f>DEGREES(ASIN(C5/C6))</f>
        <v>9.9696719536751921</v>
      </c>
      <c r="E7" s="6" t="s">
        <v>10</v>
      </c>
      <c r="F7" s="1">
        <f>DEGREES(ASIN(F5/F6))</f>
        <v>7.4101689583631494</v>
      </c>
      <c r="H7" s="6" t="s">
        <v>10</v>
      </c>
      <c r="I7" s="1">
        <f>DEGREES(ASIN(I5/I6))</f>
        <v>9.9696719536751921</v>
      </c>
      <c r="K7" s="6" t="s">
        <v>10</v>
      </c>
      <c r="L7" s="1">
        <f>DEGREES(ASIN(L5/L6))</f>
        <v>7.5835395354914885</v>
      </c>
    </row>
    <row r="8" spans="2:12" ht="15.75" thickBot="1" x14ac:dyDescent="0.3">
      <c r="E8" s="4"/>
      <c r="F8" s="4"/>
      <c r="H8" s="4"/>
      <c r="I8" s="4"/>
      <c r="K8" s="4"/>
      <c r="L8" s="4"/>
    </row>
    <row r="9" spans="2:12" ht="15.75" thickBot="1" x14ac:dyDescent="0.3">
      <c r="B9" s="7" t="s">
        <v>11</v>
      </c>
      <c r="C9" s="7">
        <f>90-C7</f>
        <v>80.030328046324811</v>
      </c>
      <c r="E9" s="7" t="s">
        <v>11</v>
      </c>
      <c r="F9" s="7">
        <f>90-F7</f>
        <v>82.589831041636856</v>
      </c>
      <c r="H9" s="7" t="s">
        <v>11</v>
      </c>
      <c r="I9" s="7">
        <f>90-I7</f>
        <v>80.030328046324811</v>
      </c>
      <c r="K9" s="7" t="s">
        <v>11</v>
      </c>
      <c r="L9" s="7">
        <f>90-L7</f>
        <v>82.416460464508518</v>
      </c>
    </row>
    <row r="11" spans="2:12" ht="15.75" thickBot="1" x14ac:dyDescent="0.3"/>
    <row r="12" spans="2:12" ht="15.75" thickBot="1" x14ac:dyDescent="0.3">
      <c r="B12" s="29" t="s">
        <v>15</v>
      </c>
      <c r="C12" s="30"/>
      <c r="E12" s="29" t="s">
        <v>17</v>
      </c>
      <c r="F12" s="30"/>
      <c r="H12" s="29" t="s">
        <v>18</v>
      </c>
      <c r="I12" s="30"/>
      <c r="K12" s="29" t="s">
        <v>19</v>
      </c>
      <c r="L12" s="30"/>
    </row>
    <row r="13" spans="2:12" ht="15.75" thickBot="1" x14ac:dyDescent="0.3">
      <c r="B13"/>
      <c r="C13"/>
    </row>
    <row r="14" spans="2:12" ht="15.75" thickBot="1" x14ac:dyDescent="0.3">
      <c r="B14" s="5" t="s">
        <v>7</v>
      </c>
      <c r="C14" s="1">
        <v>1635</v>
      </c>
      <c r="E14" s="5" t="s">
        <v>7</v>
      </c>
      <c r="F14" s="1">
        <v>1285</v>
      </c>
      <c r="H14" s="5" t="s">
        <v>7</v>
      </c>
      <c r="I14" s="1">
        <v>1500</v>
      </c>
      <c r="K14" s="5" t="s">
        <v>7</v>
      </c>
      <c r="L14" s="1">
        <v>2480</v>
      </c>
    </row>
    <row r="15" spans="2:12" ht="15.75" thickBot="1" x14ac:dyDescent="0.3">
      <c r="B15" s="5" t="s">
        <v>8</v>
      </c>
      <c r="C15" s="1">
        <v>225</v>
      </c>
      <c r="E15" s="5" t="s">
        <v>8</v>
      </c>
      <c r="F15" s="1">
        <v>250</v>
      </c>
      <c r="H15" s="5" t="s">
        <v>8</v>
      </c>
      <c r="I15" s="1">
        <v>350</v>
      </c>
      <c r="K15" s="5" t="s">
        <v>8</v>
      </c>
      <c r="L15" s="1">
        <v>350</v>
      </c>
    </row>
    <row r="16" spans="2:12" ht="15.75" thickBot="1" x14ac:dyDescent="0.3">
      <c r="B16" s="6" t="s">
        <v>9</v>
      </c>
      <c r="C16" s="1">
        <f>SQRT((C14^2)+(C15^2))</f>
        <v>1650.4090402079116</v>
      </c>
      <c r="E16" s="6" t="s">
        <v>9</v>
      </c>
      <c r="F16" s="1">
        <f>SQRT((F14^2)+(F15^2))</f>
        <v>1309.0931975990097</v>
      </c>
      <c r="H16" s="6" t="s">
        <v>9</v>
      </c>
      <c r="I16" s="1">
        <f>SQRT((I14^2)+(I15^2))</f>
        <v>1540.2921800749364</v>
      </c>
      <c r="K16" s="6" t="s">
        <v>9</v>
      </c>
      <c r="L16" s="1">
        <f>SQRT((L14^2)+(L15^2))</f>
        <v>2504.5758123881974</v>
      </c>
    </row>
    <row r="17" spans="2:12" ht="15.75" thickBot="1" x14ac:dyDescent="0.3">
      <c r="B17" s="6" t="s">
        <v>10</v>
      </c>
      <c r="C17" s="1">
        <f>DEGREES(ASIN(C15/C16))</f>
        <v>7.8355251064885501</v>
      </c>
      <c r="E17" s="6" t="s">
        <v>10</v>
      </c>
      <c r="F17" s="1">
        <f>DEGREES(ASIN(F15/F16))</f>
        <v>11.009507918954871</v>
      </c>
      <c r="H17" s="6" t="s">
        <v>10</v>
      </c>
      <c r="I17" s="1">
        <f>DEGREES(ASIN(I15/I16))</f>
        <v>13.134022306396323</v>
      </c>
      <c r="K17" s="6" t="s">
        <v>10</v>
      </c>
      <c r="L17" s="1">
        <f>DEGREES(ASIN(L15/L16))</f>
        <v>8.0330457905593633</v>
      </c>
    </row>
    <row r="18" spans="2:12" ht="15.75" thickBot="1" x14ac:dyDescent="0.3">
      <c r="E18" s="4"/>
      <c r="F18" s="4"/>
      <c r="H18" s="4"/>
      <c r="I18" s="4"/>
      <c r="K18" s="4"/>
      <c r="L18" s="4"/>
    </row>
    <row r="19" spans="2:12" ht="15.75" thickBot="1" x14ac:dyDescent="0.3">
      <c r="B19" s="7" t="s">
        <v>11</v>
      </c>
      <c r="C19" s="7">
        <f>90-C17</f>
        <v>82.164474893511454</v>
      </c>
      <c r="E19" s="7" t="s">
        <v>11</v>
      </c>
      <c r="F19" s="7">
        <f>90-F17</f>
        <v>78.990492081045133</v>
      </c>
      <c r="H19" s="7" t="s">
        <v>11</v>
      </c>
      <c r="I19" s="7">
        <f>90-I17</f>
        <v>76.865977693603682</v>
      </c>
      <c r="K19" s="7" t="s">
        <v>11</v>
      </c>
      <c r="L19" s="7">
        <f>90-L17</f>
        <v>81.966954209440644</v>
      </c>
    </row>
    <row r="21" spans="2:12" ht="15.75" thickBot="1" x14ac:dyDescent="0.3"/>
    <row r="22" spans="2:12" ht="15.75" thickBot="1" x14ac:dyDescent="0.3">
      <c r="B22" s="29" t="s">
        <v>30</v>
      </c>
      <c r="C22" s="30"/>
      <c r="E22" s="29" t="s">
        <v>31</v>
      </c>
      <c r="F22" s="30"/>
    </row>
    <row r="23" spans="2:12" ht="15.75" thickBot="1" x14ac:dyDescent="0.3">
      <c r="B23"/>
      <c r="C23"/>
    </row>
    <row r="24" spans="2:12" ht="15.75" thickBot="1" x14ac:dyDescent="0.3">
      <c r="B24" s="5" t="s">
        <v>7</v>
      </c>
      <c r="C24" s="1">
        <v>1705</v>
      </c>
      <c r="E24" s="5" t="s">
        <v>7</v>
      </c>
      <c r="F24" s="1">
        <v>1250</v>
      </c>
    </row>
    <row r="25" spans="2:12" ht="15.75" thickBot="1" x14ac:dyDescent="0.3">
      <c r="B25" s="5" t="s">
        <v>8</v>
      </c>
      <c r="C25" s="1">
        <v>200</v>
      </c>
      <c r="E25" s="5" t="s">
        <v>8</v>
      </c>
      <c r="F25" s="1">
        <v>200</v>
      </c>
    </row>
    <row r="26" spans="2:12" ht="15.75" thickBot="1" x14ac:dyDescent="0.3">
      <c r="B26" s="6" t="s">
        <v>9</v>
      </c>
      <c r="C26" s="1">
        <f>SQRT((C24^2)+(C25^2))</f>
        <v>1716.6901292895</v>
      </c>
      <c r="E26" s="6" t="s">
        <v>9</v>
      </c>
      <c r="F26" s="1">
        <f>SQRT((F24^2)+(F25^2))</f>
        <v>1265.8988901172163</v>
      </c>
    </row>
    <row r="27" spans="2:12" ht="15.75" thickBot="1" x14ac:dyDescent="0.3">
      <c r="B27" s="6" t="s">
        <v>10</v>
      </c>
      <c r="C27" s="1">
        <f>DEGREES(ASIN(C25/C26))</f>
        <v>6.6903385000144588</v>
      </c>
      <c r="E27" s="6" t="s">
        <v>10</v>
      </c>
      <c r="F27" s="1">
        <f>DEGREES(ASIN(F25/F26))</f>
        <v>9.0902769208223209</v>
      </c>
    </row>
    <row r="28" spans="2:12" ht="15.75" thickBot="1" x14ac:dyDescent="0.3">
      <c r="E28" s="4"/>
      <c r="F28" s="4"/>
    </row>
    <row r="29" spans="2:12" ht="15.75" thickBot="1" x14ac:dyDescent="0.3">
      <c r="B29" s="7" t="s">
        <v>11</v>
      </c>
      <c r="C29" s="7">
        <f>90-C27</f>
        <v>83.309661499985538</v>
      </c>
      <c r="E29" s="7" t="s">
        <v>11</v>
      </c>
      <c r="F29" s="7">
        <f>90-F27</f>
        <v>80.909723079177681</v>
      </c>
    </row>
  </sheetData>
  <mergeCells count="10">
    <mergeCell ref="K2:L2"/>
    <mergeCell ref="E12:F12"/>
    <mergeCell ref="H12:I12"/>
    <mergeCell ref="B12:C12"/>
    <mergeCell ref="K12:L12"/>
    <mergeCell ref="B22:C22"/>
    <mergeCell ref="E22:F22"/>
    <mergeCell ref="B2:C2"/>
    <mergeCell ref="E2:F2"/>
    <mergeCell ref="H2:I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Macro_LS_FANUC</vt:lpstr>
      <vt:lpstr>Instrucciones Macro</vt:lpstr>
      <vt:lpstr>Calculo_cinematica_robot</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Alvaro Galindo</dc:creator>
  <cp:lastModifiedBy>Alvaro Galindo</cp:lastModifiedBy>
  <dcterms:created xsi:type="dcterms:W3CDTF">2017-04-03T07:55:17Z</dcterms:created>
  <dcterms:modified xsi:type="dcterms:W3CDTF">2019-04-25T11:15:06Z</dcterms:modified>
</cp:coreProperties>
</file>